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vivekselvamoorthy-a2dconverter\Design-Files\NMEA2K-Converter-v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64" i="1" l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<sst xmlns="http://schemas.openxmlformats.org/spreadsheetml/2006/main" count="446" uniqueCount="297">
  <si>
    <t>#</t>
  </si>
  <si>
    <t>Item Type</t>
  </si>
  <si>
    <t>Capacitor</t>
  </si>
  <si>
    <t>TVS Diodes</t>
  </si>
  <si>
    <t>Protection Device</t>
  </si>
  <si>
    <t>Surge Protection (TVS/ESD)</t>
  </si>
  <si>
    <t>Diode</t>
  </si>
  <si>
    <t>Zener Diode</t>
  </si>
  <si>
    <t>Fuses</t>
  </si>
  <si>
    <t>Ferrite Bead</t>
  </si>
  <si>
    <t>USB Connector</t>
  </si>
  <si>
    <t>Connector</t>
  </si>
  <si>
    <t>Terminal Block</t>
  </si>
  <si>
    <t>Pin Header</t>
  </si>
  <si>
    <t>Common Mode Filter</t>
  </si>
  <si>
    <t>LED</t>
  </si>
  <si>
    <t>Resistor</t>
  </si>
  <si>
    <t>Solder Bridge</t>
  </si>
  <si>
    <t>Switch</t>
  </si>
  <si>
    <t>IC</t>
  </si>
  <si>
    <t>Optoisolators</t>
  </si>
  <si>
    <t>Designator</t>
  </si>
  <si>
    <t>C1, C10, C11, C13, C14, C15, C16, C22, C25, C28</t>
  </si>
  <si>
    <t>C2, C4</t>
  </si>
  <si>
    <t>C3, C5, C6, C12</t>
  </si>
  <si>
    <t>C7, C17, C23, C24, C26, C27, C29, C30</t>
  </si>
  <si>
    <t>C8</t>
  </si>
  <si>
    <t>C9</t>
  </si>
  <si>
    <t>C18</t>
  </si>
  <si>
    <t>C19, C21</t>
  </si>
  <si>
    <t>C20</t>
  </si>
  <si>
    <t>D1, D3, D4</t>
  </si>
  <si>
    <t>D2</t>
  </si>
  <si>
    <t>D5, D6, D7</t>
  </si>
  <si>
    <t>D8</t>
  </si>
  <si>
    <t>D9, D10, D11, D12, D13, D14, D15, D16, D17, D18</t>
  </si>
  <si>
    <t>D19, D20, D21, D22, D23, D24, D25, D26</t>
  </si>
  <si>
    <t>D27, D28</t>
  </si>
  <si>
    <t>D29</t>
  </si>
  <si>
    <t>F1</t>
  </si>
  <si>
    <t>FB1, FB2, FB3</t>
  </si>
  <si>
    <t>J1</t>
  </si>
  <si>
    <t>J2</t>
  </si>
  <si>
    <t>J3</t>
  </si>
  <si>
    <t>J4</t>
  </si>
  <si>
    <t>J6, J7</t>
  </si>
  <si>
    <t>L1</t>
  </si>
  <si>
    <t>L2</t>
  </si>
  <si>
    <t>LED1, LED5</t>
  </si>
  <si>
    <t>LED2, LED3</t>
  </si>
  <si>
    <t>LED4</t>
  </si>
  <si>
    <t>LED6</t>
  </si>
  <si>
    <t>Q1, Q2</t>
  </si>
  <si>
    <t>R1</t>
  </si>
  <si>
    <t>R2, R3</t>
  </si>
  <si>
    <t>R4</t>
  </si>
  <si>
    <t>R5</t>
  </si>
  <si>
    <t>R6, R9</t>
  </si>
  <si>
    <t>R7, R11, R12, R25, R26, R31</t>
  </si>
  <si>
    <t>R8</t>
  </si>
  <si>
    <t>R10</t>
  </si>
  <si>
    <t>R13, R16, R17, R18</t>
  </si>
  <si>
    <t>R14, R15</t>
  </si>
  <si>
    <t>R19, R23</t>
  </si>
  <si>
    <t>R20</t>
  </si>
  <si>
    <t>R21, R30</t>
  </si>
  <si>
    <t>R22, R24</t>
  </si>
  <si>
    <t>R27, R32</t>
  </si>
  <si>
    <t>R28, R33</t>
  </si>
  <si>
    <t>R29</t>
  </si>
  <si>
    <t>R34, R35, R36, R37, R38</t>
  </si>
  <si>
    <t>R39, R40, R44</t>
  </si>
  <si>
    <t>R41, R42, R43</t>
  </si>
  <si>
    <t>SB1</t>
  </si>
  <si>
    <t>SW1, SW2</t>
  </si>
  <si>
    <t>U1</t>
  </si>
  <si>
    <t>U2</t>
  </si>
  <si>
    <t>U3</t>
  </si>
  <si>
    <t>U4</t>
  </si>
  <si>
    <t>U5</t>
  </si>
  <si>
    <t>U6</t>
  </si>
  <si>
    <t>U7, U8, U10</t>
  </si>
  <si>
    <t>U9, U12</t>
  </si>
  <si>
    <t>U11</t>
  </si>
  <si>
    <t>Description</t>
  </si>
  <si>
    <t>CAP CER 0.1UF 50V X7R 0402</t>
  </si>
  <si>
    <t>Multilayer Ceramic Capacitors MLCC - SMD/SMT 1210 10uF 63volts *Derate Voltage/Temp</t>
  </si>
  <si>
    <t>CAP CER 22UF 10V X5R 0402</t>
  </si>
  <si>
    <t>CAP CER 1UF 25V X5R 0402</t>
  </si>
  <si>
    <t>CAP CER 4.7UF 25V X5R 0603</t>
  </si>
  <si>
    <t>CAP CER 4700PF 1KV X7R 1206</t>
  </si>
  <si>
    <t>CAP CER 10UF 10V X5R 0402</t>
  </si>
  <si>
    <t>CAP CER 68PF 100V C0G 0603</t>
  </si>
  <si>
    <t>CAP CER 4700PF 50V C0G/NPO 0603</t>
  </si>
  <si>
    <t>DIODE SCHOTTKY 30V 1A SOD123W</t>
  </si>
  <si>
    <t>TVS DIODE 26VWM 42.1VC SMB</t>
  </si>
  <si>
    <t>SOD-523 ESD Protection Devices ROHS</t>
  </si>
  <si>
    <t>TVS DIODE 7V/12V 14V/26V SOT23-3</t>
  </si>
  <si>
    <t>TVS DIODE 12VWM 38VC DFN1006-2</t>
  </si>
  <si>
    <t>Independent Type 4.84V~5.36V 1W 5.1V SMA Zener Diodes ROHS</t>
  </si>
  <si>
    <t>DIODE ZENER 5.1V 500MW SOD123</t>
  </si>
  <si>
    <t>DIODE SCHOTTKY 20V 1A SOD123FL</t>
  </si>
  <si>
    <t>48V 750mA 1.5A 1812 Resettable Fuses ROHS</t>
  </si>
  <si>
    <t>FERRITE BEAD 1K OHM 0805 1LN</t>
  </si>
  <si>
    <t>1 Brick nogging 14P Female Type-C SMD USB Connectors ROHS</t>
  </si>
  <si>
    <t>1x6P SH 1 1mm 6 SMD,P=1mm Wire To Board / Wire To Wire Connector ROHS</t>
  </si>
  <si>
    <t>M12 RA M PNL REAR A 5P PCB SHLD</t>
  </si>
  <si>
    <t>1x4P 18A -40℃~+105℃ 250V Green 12~30 Direct Insert 5.08mm 2.5 1 4 Plugin,P=5.08mm Screw Terminal Blocks ROHS</t>
  </si>
  <si>
    <t>Right-Angle 2.5mm 6mm 10P 2.54mm 双排 2x5P Plugin,P=2.54mm Pin Headers ROHS</t>
  </si>
  <si>
    <t>Fixed Ind 4.720%UH 0.06 Ohm 3200M</t>
  </si>
  <si>
    <t>CMC 51UH 200MA 2LN 2.8KOHM SMD</t>
  </si>
  <si>
    <t>RED LED 0603 Light Emitting Diodes</t>
  </si>
  <si>
    <t>yellow 0603 Light Emitting Diodes (LED) ROHS</t>
  </si>
  <si>
    <t>Emerald 0603 Light Emitting Diodes (LED) ROHS</t>
  </si>
  <si>
    <t>blue 0603 Light Emitting Diodes (LED) ROHS</t>
  </si>
  <si>
    <t>25V 300mW 120@100mA,1V 1.5A NPN SOT-23 Bipolar Transistors - BJT ROHS</t>
  </si>
  <si>
    <t>RES 240 OHM 1% 1/16W 0402</t>
  </si>
  <si>
    <t>RES 5.1K OHM 1% 1/16W 0402</t>
  </si>
  <si>
    <t>RES 2K OHM 1% 1/16W 0402</t>
  </si>
  <si>
    <t>RES 22.1K OHM 1% 1/10W 0603</t>
  </si>
  <si>
    <t>RES SMD 220 OHM 1% 1/10W 0603</t>
  </si>
  <si>
    <t>RES 10K OHM 1% 1/16W 0402</t>
  </si>
  <si>
    <t>RES 47.5K OHM 1% 1/10W 0603</t>
  </si>
  <si>
    <t>RES SMD 1M OHM 1% 1/10W 0603</t>
  </si>
  <si>
    <t>RES 4.7K OHM 1% 1/16W 0402</t>
  </si>
  <si>
    <t>RES SMD 240 OHM 0.1% 1/10W 0603</t>
  </si>
  <si>
    <t>RES SMD 59 OHM 0.1% 1/4W 1206</t>
  </si>
  <si>
    <t>RES 220 OHM 1% 1/20W 0201</t>
  </si>
  <si>
    <t>RES 3.3K OHM 1% 1/16W 0402</t>
  </si>
  <si>
    <t>RES 0 OHM JUMPER 1/16W 0402</t>
  </si>
  <si>
    <t>RES 120 OHM 1% 1/16W 0402</t>
  </si>
  <si>
    <t>RES 100 OHM 1% 1/16W 0402</t>
  </si>
  <si>
    <t>RES 470 OHM 1% 1/10W 0603</t>
  </si>
  <si>
    <t>500mW Thick Film Resistors 200V ±200ppm/℃ ±5% 100Ω 1206 Chip Resistor - Surface Mount ROHS</t>
  </si>
  <si>
    <t>RES 100K OHM 1% 1/16W 0402</t>
  </si>
  <si>
    <t>RES 39K OHM 1% 1/16W 0402</t>
  </si>
  <si>
    <t>Solder Bridge ON</t>
  </si>
  <si>
    <t>SWITCH TACTILE SPST-NO 0.05A 12V</t>
  </si>
  <si>
    <t>IC REG BUCK 5V 2A TSOT26</t>
  </si>
  <si>
    <t>SOT-223 Linear Voltage Regulators (LDO) ROHS</t>
  </si>
  <si>
    <t>Full Speed USB to UART Bridge USB 2.0 3.3V T/R Automotive 28-Pin QFN EP</t>
  </si>
  <si>
    <t>RF TXRX MOD BLUETOOTH U.FL SMD</t>
  </si>
  <si>
    <t>IC TRANSLTR BIDIRECTIONAL 8VSSOP</t>
  </si>
  <si>
    <t>IC TRANSCEIVER HALF 1/1 8SOIC</t>
  </si>
  <si>
    <t>IC ADC 16BIT SIGMA-DELTA 10VSSOP</t>
  </si>
  <si>
    <t>IC REG LIN POS ADJ 500MA SOT223</t>
  </si>
  <si>
    <t>SOP-8 Logic Output Optoisolators ROHS</t>
  </si>
  <si>
    <t>Footprint</t>
  </si>
  <si>
    <t>Cap-0402</t>
  </si>
  <si>
    <t>Cap-1210</t>
  </si>
  <si>
    <t>Cap-0603</t>
  </si>
  <si>
    <t>Cap-1206</t>
  </si>
  <si>
    <t>SOD-123W</t>
  </si>
  <si>
    <t>SMB_</t>
  </si>
  <si>
    <t>SOD-523</t>
  </si>
  <si>
    <t>SOT-23</t>
  </si>
  <si>
    <t>DFN1006-2L (Bi-Directional)</t>
  </si>
  <si>
    <t>SMA</t>
  </si>
  <si>
    <t>SOD-123</t>
  </si>
  <si>
    <t>1812-FUSE</t>
  </si>
  <si>
    <t>Ind-0805</t>
  </si>
  <si>
    <t>TYPE-C-31-D-07</t>
  </si>
  <si>
    <t>Voltlink Target</t>
  </si>
  <si>
    <t>T4144035051-000</t>
  </si>
  <si>
    <t>DB128L-5.08-4P-GN-S</t>
  </si>
  <si>
    <t>HDR 2x5TH (rigth angle)</t>
  </si>
  <si>
    <t>SWPA4030S4R7MT_</t>
  </si>
  <si>
    <t>ACT45B-510-2P-TL003</t>
  </si>
  <si>
    <t>LED-0603</t>
  </si>
  <si>
    <t>Res-0402</t>
  </si>
  <si>
    <t>Res-0603</t>
  </si>
  <si>
    <t>Res-1206</t>
  </si>
  <si>
    <t>Res-0201</t>
  </si>
  <si>
    <t>Solder Bridge 0402</t>
  </si>
  <si>
    <t>B3U-1000P</t>
  </si>
  <si>
    <t>TSOT-23-6</t>
  </si>
  <si>
    <t>SOT- 223</t>
  </si>
  <si>
    <t>28-QFN (5x5)_</t>
  </si>
  <si>
    <t>ESP32-WROOM-32UE-N16</t>
  </si>
  <si>
    <t>VSSOP-8(3.1x2.1)</t>
  </si>
  <si>
    <t>SOIC-8(0.154", 3.90mm Width)</t>
  </si>
  <si>
    <t>VSSOP-10</t>
  </si>
  <si>
    <t>SOP-8 (S Type)</t>
  </si>
  <si>
    <t>Manufacturer Part Number</t>
  </si>
  <si>
    <t>CL05B104KB54PNC</t>
  </si>
  <si>
    <t>GRM32ER71J106KA12L</t>
  </si>
  <si>
    <t>CL05A105KA5NQNC</t>
  </si>
  <si>
    <t>CL10A475KA8NQNC</t>
  </si>
  <si>
    <t>CC1206KKX7RCBB472</t>
  </si>
  <si>
    <t>CC0402MRX5R6BB106</t>
  </si>
  <si>
    <t>CGA3E2C0G2A680JT0Y0N</t>
  </si>
  <si>
    <t>CC0603JRNPO9BN472</t>
  </si>
  <si>
    <t>PMEG3010ER,115</t>
  </si>
  <si>
    <t>SMBJ26A-13-F</t>
  </si>
  <si>
    <t>LESD5D5.0CT1G</t>
  </si>
  <si>
    <t>CDSOT23-SM712</t>
  </si>
  <si>
    <t>PESD12VV1BL,315</t>
  </si>
  <si>
    <t>1SMA4733A</t>
  </si>
  <si>
    <t>MMSZ5231B-7-F</t>
  </si>
  <si>
    <t>MBR120VLSFT3G</t>
  </si>
  <si>
    <t>1812L075/48GR</t>
  </si>
  <si>
    <t>MMZ2012R102ATD25</t>
  </si>
  <si>
    <t>C145963</t>
  </si>
  <si>
    <t>2541WR-2x05P</t>
  </si>
  <si>
    <t>SWPA4030S4R7MT</t>
  </si>
  <si>
    <t>NCD0603R3</t>
  </si>
  <si>
    <t>NCD0603Y2</t>
  </si>
  <si>
    <t>NCD0603G2</t>
  </si>
  <si>
    <t>NCD0603B3</t>
  </si>
  <si>
    <t>SS8050-G</t>
  </si>
  <si>
    <t>RC0402FR-07240RL</t>
  </si>
  <si>
    <t>RC0402FR-075K1L</t>
  </si>
  <si>
    <t>RC0603FR-0722K1L</t>
  </si>
  <si>
    <t>RC0603FR-07220RL</t>
  </si>
  <si>
    <t>RC0402FR-0710KL</t>
  </si>
  <si>
    <t>RC0603FR-0747K5L</t>
  </si>
  <si>
    <t>RC0603FR-071ML</t>
  </si>
  <si>
    <t>RC0402FR-074K7L</t>
  </si>
  <si>
    <t>RT0603BRD07240RL</t>
  </si>
  <si>
    <t>RT1206BRD0759RL</t>
  </si>
  <si>
    <t>RC0201FR-07220RL</t>
  </si>
  <si>
    <t>RC0402FR-073K3L</t>
  </si>
  <si>
    <t>RC0402FR-070RL</t>
  </si>
  <si>
    <t>RC0402FR-07120RL</t>
  </si>
  <si>
    <t>RC0402FR-07100RL</t>
  </si>
  <si>
    <t>RC0603FR-07470RL</t>
  </si>
  <si>
    <t>FRP1206J101 TS</t>
  </si>
  <si>
    <t>RC0402FR-07100KL</t>
  </si>
  <si>
    <t>RC0402FR-0739KL</t>
  </si>
  <si>
    <t>AP63205WU-7</t>
  </si>
  <si>
    <t>AMS1117-3.3</t>
  </si>
  <si>
    <t>CP2102N-A02-GQFN28R</t>
  </si>
  <si>
    <t>TXS0102DCUR</t>
  </si>
  <si>
    <t>TCAN3414DR</t>
  </si>
  <si>
    <t>ADS1115IDGSR</t>
  </si>
  <si>
    <t>LM317MDCYR</t>
  </si>
  <si>
    <t>6N137S</t>
  </si>
  <si>
    <t>Manufacturer</t>
  </si>
  <si>
    <t>Samsung</t>
  </si>
  <si>
    <t>Murata</t>
  </si>
  <si>
    <t>Yageo</t>
  </si>
  <si>
    <t>Nexperia</t>
  </si>
  <si>
    <t>Diodes</t>
  </si>
  <si>
    <t>UMW</t>
  </si>
  <si>
    <t>Bourns</t>
  </si>
  <si>
    <t>Shandong Jingdao Microelectronics</t>
  </si>
  <si>
    <t>ON Semiconductor</t>
  </si>
  <si>
    <t>LUTE</t>
  </si>
  <si>
    <t>TDK</t>
  </si>
  <si>
    <t>Korean Hroparts Elec</t>
  </si>
  <si>
    <t>BOOMELE</t>
  </si>
  <si>
    <t>TE Connectivity AMP Connectors</t>
  </si>
  <si>
    <t>DORABO</t>
  </si>
  <si>
    <t>HanElectricity</t>
  </si>
  <si>
    <t>Sunlord</t>
  </si>
  <si>
    <t>Foshan NationStar Optoelectronics</t>
  </si>
  <si>
    <t>Jiangsu Changjing Electronics Technology</t>
  </si>
  <si>
    <t>FOJAN</t>
  </si>
  <si>
    <t>Omron</t>
  </si>
  <si>
    <t>GUOXIN JIAPIN SEMICONDUCTOR</t>
  </si>
  <si>
    <t>Silicon Labs</t>
  </si>
  <si>
    <t>Espressif Systems</t>
  </si>
  <si>
    <t>Texas Instruments</t>
  </si>
  <si>
    <t>0.1uF</t>
  </si>
  <si>
    <t>10uF</t>
  </si>
  <si>
    <t>22uF</t>
  </si>
  <si>
    <t>1uF</t>
  </si>
  <si>
    <t>4.7UF</t>
  </si>
  <si>
    <t>4.7nF</t>
  </si>
  <si>
    <t>68pF</t>
  </si>
  <si>
    <t>4.7uH</t>
  </si>
  <si>
    <t>240R</t>
  </si>
  <si>
    <t>5.1K</t>
  </si>
  <si>
    <t>2K</t>
  </si>
  <si>
    <t>22.1K</t>
  </si>
  <si>
    <t>220R</t>
  </si>
  <si>
    <t>10K</t>
  </si>
  <si>
    <t>47.5K</t>
  </si>
  <si>
    <t>1M</t>
  </si>
  <si>
    <t>4.7K</t>
  </si>
  <si>
    <t>59R</t>
  </si>
  <si>
    <t>3.3K</t>
  </si>
  <si>
    <t>0R</t>
  </si>
  <si>
    <t>120R</t>
  </si>
  <si>
    <t>100R</t>
  </si>
  <si>
    <t>470R</t>
  </si>
  <si>
    <t>100K</t>
  </si>
  <si>
    <t>39K</t>
  </si>
  <si>
    <t>Quantity</t>
  </si>
  <si>
    <t>Remarks</t>
  </si>
  <si>
    <t>Value</t>
  </si>
  <si>
    <t>-</t>
  </si>
  <si>
    <t>GRM158R61A226ME15D</t>
  </si>
  <si>
    <t>RC0402FR-072KL</t>
  </si>
  <si>
    <t>Inductor</t>
  </si>
  <si>
    <t>Mosfet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</si>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</sst>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4"/>
  <sheetViews>
    <sheetView tabSelected="1" topLeftCell="A46" workbookViewId="0">
      <selection activeCell="H73" sqref="H7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21</v>
      </c>
      <c r="E2" s="6" t="s">
        <v>84</v>
      </c>
      <c r="F2" s="5" t="s">
        <v>147</v>
      </c>
      <c r="G2" s="6" t="s">
        <v>183</v>
      </c>
      <c r="H2" s="5" t="s">
        <v>237</v>
      </c>
      <c r="I2" s="6" t="s">
        <v>290</v>
      </c>
      <c r="J2" s="5" t="s">
        <v>288</v>
      </c>
      <c r="K2" s="5" t="s">
        <v>289</v>
      </c>
    </row>
    <row r="3" spans="1:11" ht="15.75" thickBot="1" x14ac:dyDescent="0.3">
      <c r="A3" s="1"/>
      <c r="B3" s="11">
        <f>ROW(B3) - ROW($B$2)</f>
        <v>1</v>
      </c>
      <c r="C3" s="13" t="s">
        <v>2</v>
      </c>
      <c r="D3" s="7" t="s">
        <v>22</v>
      </c>
      <c r="E3" s="8" t="s">
        <v>85</v>
      </c>
      <c r="F3" s="7" t="s">
        <v>148</v>
      </c>
      <c r="G3" s="8" t="s">
        <v>184</v>
      </c>
      <c r="H3" s="7" t="s">
        <v>238</v>
      </c>
      <c r="I3" s="8" t="s">
        <v>263</v>
      </c>
      <c r="J3" s="7">
        <v>10</v>
      </c>
      <c r="K3" s="7"/>
    </row>
    <row r="4" spans="1:11" ht="36.75" thickBot="1" x14ac:dyDescent="0.3">
      <c r="A4" s="1"/>
      <c r="B4" s="11">
        <f t="shared" ref="B4:B64" si="0">ROW(B4) - ROW($B$2)</f>
        <v>2</v>
      </c>
      <c r="C4" s="13" t="s">
        <v>2</v>
      </c>
      <c r="D4" s="9" t="s">
        <v>23</v>
      </c>
      <c r="E4" s="10" t="s">
        <v>86</v>
      </c>
      <c r="F4" s="9" t="s">
        <v>149</v>
      </c>
      <c r="G4" s="10" t="s">
        <v>185</v>
      </c>
      <c r="H4" s="9" t="s">
        <v>239</v>
      </c>
      <c r="I4" s="10" t="s">
        <v>264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24</v>
      </c>
      <c r="E5" s="8" t="s">
        <v>87</v>
      </c>
      <c r="F5" s="7" t="s">
        <v>148</v>
      </c>
      <c r="G5" s="8" t="s">
        <v>292</v>
      </c>
      <c r="H5" s="9" t="s">
        <v>239</v>
      </c>
      <c r="I5" s="8" t="s">
        <v>265</v>
      </c>
      <c r="J5" s="7">
        <v>4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25</v>
      </c>
      <c r="E6" s="10" t="s">
        <v>88</v>
      </c>
      <c r="F6" s="9" t="s">
        <v>148</v>
      </c>
      <c r="G6" s="10" t="s">
        <v>186</v>
      </c>
      <c r="H6" s="9" t="s">
        <v>238</v>
      </c>
      <c r="I6" s="10" t="s">
        <v>266</v>
      </c>
      <c r="J6" s="9">
        <v>8</v>
      </c>
      <c r="K6" s="9"/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26</v>
      </c>
      <c r="E7" s="8" t="s">
        <v>89</v>
      </c>
      <c r="F7" s="7" t="s">
        <v>150</v>
      </c>
      <c r="G7" s="8" t="s">
        <v>187</v>
      </c>
      <c r="H7" s="7" t="s">
        <v>238</v>
      </c>
      <c r="I7" s="8" t="s">
        <v>267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27</v>
      </c>
      <c r="E8" s="10" t="s">
        <v>90</v>
      </c>
      <c r="F8" s="9" t="s">
        <v>151</v>
      </c>
      <c r="G8" s="10" t="s">
        <v>188</v>
      </c>
      <c r="H8" s="9" t="s">
        <v>240</v>
      </c>
      <c r="I8" s="10" t="s">
        <v>268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28</v>
      </c>
      <c r="E9" s="8" t="s">
        <v>91</v>
      </c>
      <c r="F9" s="7" t="s">
        <v>148</v>
      </c>
      <c r="G9" s="8" t="s">
        <v>189</v>
      </c>
      <c r="H9" s="7" t="s">
        <v>240</v>
      </c>
      <c r="I9" s="8" t="s">
        <v>264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29</v>
      </c>
      <c r="E10" s="10" t="s">
        <v>92</v>
      </c>
      <c r="F10" s="9" t="s">
        <v>150</v>
      </c>
      <c r="G10" s="10" t="s">
        <v>190</v>
      </c>
      <c r="H10" s="9" t="s">
        <v>248</v>
      </c>
      <c r="I10" s="10" t="s">
        <v>269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2</v>
      </c>
      <c r="D11" s="7" t="s">
        <v>30</v>
      </c>
      <c r="E11" s="8" t="s">
        <v>93</v>
      </c>
      <c r="F11" s="7" t="s">
        <v>150</v>
      </c>
      <c r="G11" s="8" t="s">
        <v>191</v>
      </c>
      <c r="H11" s="7" t="s">
        <v>240</v>
      </c>
      <c r="I11" s="8" t="s">
        <v>268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6</v>
      </c>
      <c r="D12" s="9" t="s">
        <v>31</v>
      </c>
      <c r="E12" s="10" t="s">
        <v>94</v>
      </c>
      <c r="F12" s="9" t="s">
        <v>152</v>
      </c>
      <c r="G12" s="10" t="s">
        <v>192</v>
      </c>
      <c r="H12" s="9" t="s">
        <v>241</v>
      </c>
      <c r="I12" s="10" t="s">
        <v>291</v>
      </c>
      <c r="J12" s="9">
        <v>3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3</v>
      </c>
      <c r="D13" s="7" t="s">
        <v>32</v>
      </c>
      <c r="E13" s="8" t="s">
        <v>95</v>
      </c>
      <c r="F13" s="7" t="s">
        <v>153</v>
      </c>
      <c r="G13" s="8" t="s">
        <v>193</v>
      </c>
      <c r="H13" s="7" t="s">
        <v>242</v>
      </c>
      <c r="I13" s="10" t="s">
        <v>291</v>
      </c>
      <c r="J13" s="7">
        <v>1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4</v>
      </c>
      <c r="D14" s="9" t="s">
        <v>33</v>
      </c>
      <c r="E14" s="10" t="s">
        <v>96</v>
      </c>
      <c r="F14" s="9" t="s">
        <v>154</v>
      </c>
      <c r="G14" s="10" t="s">
        <v>194</v>
      </c>
      <c r="H14" s="9" t="s">
        <v>243</v>
      </c>
      <c r="I14" s="10" t="s">
        <v>291</v>
      </c>
      <c r="J14" s="9">
        <v>3</v>
      </c>
      <c r="K14" s="9"/>
    </row>
    <row r="15" spans="1:11" ht="26.25" thickBot="1" x14ac:dyDescent="0.3">
      <c r="A15" s="1"/>
      <c r="B15" s="11">
        <f>ROW(B15) - ROW($B$2)</f>
        <v>13</v>
      </c>
      <c r="C15" s="12" t="s">
        <v>5</v>
      </c>
      <c r="D15" s="7" t="s">
        <v>34</v>
      </c>
      <c r="E15" s="8" t="s">
        <v>97</v>
      </c>
      <c r="F15" s="7" t="s">
        <v>155</v>
      </c>
      <c r="G15" s="8" t="s">
        <v>195</v>
      </c>
      <c r="H15" s="7" t="s">
        <v>244</v>
      </c>
      <c r="I15" s="10" t="s">
        <v>291</v>
      </c>
      <c r="J15" s="7">
        <v>1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6</v>
      </c>
      <c r="D16" s="9" t="s">
        <v>35</v>
      </c>
      <c r="E16" s="10" t="s">
        <v>98</v>
      </c>
      <c r="F16" s="9" t="s">
        <v>156</v>
      </c>
      <c r="G16" s="10" t="s">
        <v>196</v>
      </c>
      <c r="H16" s="9" t="s">
        <v>241</v>
      </c>
      <c r="I16" s="10" t="s">
        <v>291</v>
      </c>
      <c r="J16" s="9">
        <v>10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6</v>
      </c>
      <c r="D17" s="7" t="s">
        <v>36</v>
      </c>
      <c r="E17" s="8" t="s">
        <v>99</v>
      </c>
      <c r="F17" s="7" t="s">
        <v>157</v>
      </c>
      <c r="G17" s="8" t="s">
        <v>197</v>
      </c>
      <c r="H17" s="7" t="s">
        <v>245</v>
      </c>
      <c r="I17" s="10" t="s">
        <v>291</v>
      </c>
      <c r="J17" s="7">
        <v>8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7</v>
      </c>
      <c r="D18" s="9" t="s">
        <v>37</v>
      </c>
      <c r="E18" s="10" t="s">
        <v>100</v>
      </c>
      <c r="F18" s="9" t="s">
        <v>158</v>
      </c>
      <c r="G18" s="10" t="s">
        <v>198</v>
      </c>
      <c r="H18" s="9" t="s">
        <v>242</v>
      </c>
      <c r="I18" s="10" t="s">
        <v>291</v>
      </c>
      <c r="J18" s="9">
        <v>2</v>
      </c>
      <c r="K18" s="9"/>
    </row>
    <row r="19" spans="1:11" ht="15.75" thickBot="1" x14ac:dyDescent="0.3">
      <c r="A19" s="1"/>
      <c r="B19" s="11">
        <f>ROW(B19) - ROW($B$2)</f>
        <v>17</v>
      </c>
      <c r="C19" s="13" t="s">
        <v>6</v>
      </c>
      <c r="D19" s="7" t="s">
        <v>38</v>
      </c>
      <c r="E19" s="8" t="s">
        <v>101</v>
      </c>
      <c r="F19" s="7" t="s">
        <v>158</v>
      </c>
      <c r="G19" s="8" t="s">
        <v>199</v>
      </c>
      <c r="H19" s="7" t="s">
        <v>246</v>
      </c>
      <c r="I19" s="10" t="s">
        <v>291</v>
      </c>
      <c r="J19" s="7">
        <v>1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8</v>
      </c>
      <c r="D20" s="9" t="s">
        <v>39</v>
      </c>
      <c r="E20" s="10" t="s">
        <v>102</v>
      </c>
      <c r="F20" s="9" t="s">
        <v>159</v>
      </c>
      <c r="G20" s="10" t="s">
        <v>200</v>
      </c>
      <c r="H20" s="9" t="s">
        <v>247</v>
      </c>
      <c r="I20" s="10" t="s">
        <v>291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9</v>
      </c>
      <c r="D21" s="7" t="s">
        <v>40</v>
      </c>
      <c r="E21" s="8" t="s">
        <v>103</v>
      </c>
      <c r="F21" s="7" t="s">
        <v>160</v>
      </c>
      <c r="G21" s="8" t="s">
        <v>201</v>
      </c>
      <c r="H21" s="7" t="s">
        <v>248</v>
      </c>
      <c r="I21" s="10" t="s">
        <v>291</v>
      </c>
      <c r="J21" s="7">
        <v>3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10</v>
      </c>
      <c r="D22" s="9" t="s">
        <v>41</v>
      </c>
      <c r="E22" s="10" t="s">
        <v>104</v>
      </c>
      <c r="F22" s="9" t="s">
        <v>161</v>
      </c>
      <c r="G22" s="10" t="s">
        <v>161</v>
      </c>
      <c r="H22" s="9" t="s">
        <v>249</v>
      </c>
      <c r="I22" s="10" t="s">
        <v>291</v>
      </c>
      <c r="J22" s="9">
        <v>1</v>
      </c>
      <c r="K22" s="9"/>
    </row>
    <row r="23" spans="1:11" ht="36.75" thickBot="1" x14ac:dyDescent="0.3">
      <c r="A23" s="1"/>
      <c r="B23" s="11">
        <f>ROW(B23) - ROW($B$2)</f>
        <v>21</v>
      </c>
      <c r="C23" s="12" t="s">
        <v>11</v>
      </c>
      <c r="D23" s="7" t="s">
        <v>42</v>
      </c>
      <c r="E23" s="8" t="s">
        <v>105</v>
      </c>
      <c r="F23" s="7" t="s">
        <v>162</v>
      </c>
      <c r="G23" s="8" t="s">
        <v>202</v>
      </c>
      <c r="H23" s="7" t="s">
        <v>250</v>
      </c>
      <c r="I23" s="10" t="s">
        <v>291</v>
      </c>
      <c r="J23" s="7">
        <v>1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11</v>
      </c>
      <c r="D24" s="9" t="s">
        <v>43</v>
      </c>
      <c r="E24" s="10" t="s">
        <v>106</v>
      </c>
      <c r="F24" s="9" t="s">
        <v>163</v>
      </c>
      <c r="G24" s="10" t="s">
        <v>163</v>
      </c>
      <c r="H24" s="9" t="s">
        <v>251</v>
      </c>
      <c r="I24" s="10" t="s">
        <v>291</v>
      </c>
      <c r="J24" s="9">
        <v>1</v>
      </c>
      <c r="K24" s="9"/>
    </row>
    <row r="25" spans="1:11" ht="48.75" thickBot="1" x14ac:dyDescent="0.3">
      <c r="A25" s="1"/>
      <c r="B25" s="11">
        <f>ROW(B25) - ROW($B$2)</f>
        <v>23</v>
      </c>
      <c r="C25" s="12" t="s">
        <v>12</v>
      </c>
      <c r="D25" s="7" t="s">
        <v>44</v>
      </c>
      <c r="E25" s="8" t="s">
        <v>107</v>
      </c>
      <c r="F25" s="7" t="s">
        <v>164</v>
      </c>
      <c r="G25" s="8" t="s">
        <v>164</v>
      </c>
      <c r="H25" s="7" t="s">
        <v>252</v>
      </c>
      <c r="I25" s="10" t="s">
        <v>291</v>
      </c>
      <c r="J25" s="7">
        <v>1</v>
      </c>
      <c r="K25" s="7"/>
    </row>
    <row r="26" spans="1:11" ht="36.75" thickBot="1" x14ac:dyDescent="0.3">
      <c r="A26" s="1"/>
      <c r="B26" s="11">
        <f t="shared" si="0"/>
        <v>24</v>
      </c>
      <c r="C26" s="13" t="s">
        <v>13</v>
      </c>
      <c r="D26" s="15" t="s">
        <v>45</v>
      </c>
      <c r="E26" s="16" t="s">
        <v>108</v>
      </c>
      <c r="F26" s="15" t="s">
        <v>165</v>
      </c>
      <c r="G26" s="16" t="s">
        <v>203</v>
      </c>
      <c r="H26" s="15" t="s">
        <v>253</v>
      </c>
      <c r="I26" s="16" t="s">
        <v>291</v>
      </c>
      <c r="J26" s="15">
        <v>2</v>
      </c>
      <c r="K26" s="17" t="s">
        <v>296</v>
      </c>
    </row>
    <row r="27" spans="1:11" ht="15.75" thickBot="1" x14ac:dyDescent="0.3">
      <c r="A27" s="1"/>
      <c r="B27" s="11">
        <f>ROW(B27) - ROW($B$2)</f>
        <v>25</v>
      </c>
      <c r="C27" s="12" t="s">
        <v>294</v>
      </c>
      <c r="D27" s="7" t="s">
        <v>46</v>
      </c>
      <c r="E27" s="8" t="s">
        <v>109</v>
      </c>
      <c r="F27" s="7" t="s">
        <v>166</v>
      </c>
      <c r="G27" s="8" t="s">
        <v>204</v>
      </c>
      <c r="H27" s="7" t="s">
        <v>254</v>
      </c>
      <c r="I27" s="8" t="s">
        <v>270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14</v>
      </c>
      <c r="D28" s="9" t="s">
        <v>47</v>
      </c>
      <c r="E28" s="10" t="s">
        <v>110</v>
      </c>
      <c r="F28" s="9" t="s">
        <v>167</v>
      </c>
      <c r="G28" s="10" t="s">
        <v>167</v>
      </c>
      <c r="H28" s="9" t="s">
        <v>248</v>
      </c>
      <c r="I28" s="10" t="s">
        <v>291</v>
      </c>
      <c r="J28" s="9">
        <v>1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15</v>
      </c>
      <c r="D29" s="7" t="s">
        <v>48</v>
      </c>
      <c r="E29" s="8" t="s">
        <v>111</v>
      </c>
      <c r="F29" s="7" t="s">
        <v>168</v>
      </c>
      <c r="G29" s="8" t="s">
        <v>205</v>
      </c>
      <c r="H29" s="7" t="s">
        <v>255</v>
      </c>
      <c r="I29" s="8" t="s">
        <v>291</v>
      </c>
      <c r="J29" s="7">
        <v>2</v>
      </c>
      <c r="K29" s="7"/>
    </row>
    <row r="30" spans="1:11" ht="24.75" thickBot="1" x14ac:dyDescent="0.3">
      <c r="A30" s="1"/>
      <c r="B30" s="11">
        <f t="shared" si="0"/>
        <v>28</v>
      </c>
      <c r="C30" s="13" t="s">
        <v>15</v>
      </c>
      <c r="D30" s="9" t="s">
        <v>49</v>
      </c>
      <c r="E30" s="10" t="s">
        <v>112</v>
      </c>
      <c r="F30" s="9" t="s">
        <v>168</v>
      </c>
      <c r="G30" s="10" t="s">
        <v>206</v>
      </c>
      <c r="H30" s="9" t="s">
        <v>255</v>
      </c>
      <c r="I30" s="8" t="s">
        <v>291</v>
      </c>
      <c r="J30" s="9">
        <v>2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15</v>
      </c>
      <c r="D31" s="7" t="s">
        <v>50</v>
      </c>
      <c r="E31" s="8" t="s">
        <v>113</v>
      </c>
      <c r="F31" s="7" t="s">
        <v>168</v>
      </c>
      <c r="G31" s="8" t="s">
        <v>207</v>
      </c>
      <c r="H31" s="7" t="s">
        <v>255</v>
      </c>
      <c r="I31" s="8" t="s">
        <v>291</v>
      </c>
      <c r="J31" s="7">
        <v>1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15</v>
      </c>
      <c r="D32" s="9" t="s">
        <v>51</v>
      </c>
      <c r="E32" s="10" t="s">
        <v>114</v>
      </c>
      <c r="F32" s="9" t="s">
        <v>168</v>
      </c>
      <c r="G32" s="10" t="s">
        <v>208</v>
      </c>
      <c r="H32" s="9" t="s">
        <v>255</v>
      </c>
      <c r="I32" s="8" t="s">
        <v>291</v>
      </c>
      <c r="J32" s="9">
        <v>1</v>
      </c>
      <c r="K32" s="9"/>
    </row>
    <row r="33" spans="1:11" ht="36.75" thickBot="1" x14ac:dyDescent="0.3">
      <c r="A33" s="1"/>
      <c r="B33" s="11">
        <f>ROW(B33) - ROW($B$2)</f>
        <v>31</v>
      </c>
      <c r="C33" s="12" t="s">
        <v>295</v>
      </c>
      <c r="D33" s="7" t="s">
        <v>52</v>
      </c>
      <c r="E33" s="8" t="s">
        <v>115</v>
      </c>
      <c r="F33" s="7" t="s">
        <v>155</v>
      </c>
      <c r="G33" s="8" t="s">
        <v>209</v>
      </c>
      <c r="H33" s="7" t="s">
        <v>256</v>
      </c>
      <c r="I33" s="8" t="s">
        <v>291</v>
      </c>
      <c r="J33" s="7">
        <v>2</v>
      </c>
      <c r="K33" s="7"/>
    </row>
    <row r="34" spans="1:11" ht="15.75" thickBot="1" x14ac:dyDescent="0.3">
      <c r="A34" s="1"/>
      <c r="B34" s="11">
        <f t="shared" si="0"/>
        <v>32</v>
      </c>
      <c r="C34" s="12" t="s">
        <v>16</v>
      </c>
      <c r="D34" s="9" t="s">
        <v>53</v>
      </c>
      <c r="E34" s="10" t="s">
        <v>116</v>
      </c>
      <c r="F34" s="9" t="s">
        <v>169</v>
      </c>
      <c r="G34" s="10" t="s">
        <v>210</v>
      </c>
      <c r="H34" s="9" t="s">
        <v>240</v>
      </c>
      <c r="I34" s="10" t="s">
        <v>271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16</v>
      </c>
      <c r="D35" s="7" t="s">
        <v>54</v>
      </c>
      <c r="E35" s="8" t="s">
        <v>117</v>
      </c>
      <c r="F35" s="7" t="s">
        <v>169</v>
      </c>
      <c r="G35" s="8" t="s">
        <v>211</v>
      </c>
      <c r="H35" s="7" t="s">
        <v>240</v>
      </c>
      <c r="I35" s="8" t="s">
        <v>272</v>
      </c>
      <c r="J35" s="7">
        <v>2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16</v>
      </c>
      <c r="D36" s="9" t="s">
        <v>55</v>
      </c>
      <c r="E36" s="10" t="s">
        <v>118</v>
      </c>
      <c r="F36" s="9" t="s">
        <v>169</v>
      </c>
      <c r="G36" s="10" t="s">
        <v>293</v>
      </c>
      <c r="H36" s="7" t="s">
        <v>240</v>
      </c>
      <c r="I36" s="10" t="s">
        <v>273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16</v>
      </c>
      <c r="D37" s="7" t="s">
        <v>56</v>
      </c>
      <c r="E37" s="8" t="s">
        <v>119</v>
      </c>
      <c r="F37" s="7" t="s">
        <v>170</v>
      </c>
      <c r="G37" s="8" t="s">
        <v>212</v>
      </c>
      <c r="H37" s="7" t="s">
        <v>240</v>
      </c>
      <c r="I37" s="8" t="s">
        <v>274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16</v>
      </c>
      <c r="D38" s="9" t="s">
        <v>57</v>
      </c>
      <c r="E38" s="10" t="s">
        <v>120</v>
      </c>
      <c r="F38" s="9" t="s">
        <v>170</v>
      </c>
      <c r="G38" s="10" t="s">
        <v>213</v>
      </c>
      <c r="H38" s="9" t="s">
        <v>240</v>
      </c>
      <c r="I38" s="10" t="s">
        <v>275</v>
      </c>
      <c r="J38" s="9">
        <v>2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16</v>
      </c>
      <c r="D39" s="7" t="s">
        <v>58</v>
      </c>
      <c r="E39" s="8" t="s">
        <v>121</v>
      </c>
      <c r="F39" s="7" t="s">
        <v>169</v>
      </c>
      <c r="G39" s="8" t="s">
        <v>214</v>
      </c>
      <c r="H39" s="7" t="s">
        <v>240</v>
      </c>
      <c r="I39" s="8" t="s">
        <v>276</v>
      </c>
      <c r="J39" s="7">
        <v>6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16</v>
      </c>
      <c r="D40" s="9" t="s">
        <v>59</v>
      </c>
      <c r="E40" s="10" t="s">
        <v>122</v>
      </c>
      <c r="F40" s="9" t="s">
        <v>170</v>
      </c>
      <c r="G40" s="10" t="s">
        <v>215</v>
      </c>
      <c r="H40" s="9" t="s">
        <v>240</v>
      </c>
      <c r="I40" s="10" t="s">
        <v>277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16</v>
      </c>
      <c r="D41" s="7" t="s">
        <v>60</v>
      </c>
      <c r="E41" s="8" t="s">
        <v>123</v>
      </c>
      <c r="F41" s="7" t="s">
        <v>170</v>
      </c>
      <c r="G41" s="8" t="s">
        <v>216</v>
      </c>
      <c r="H41" s="7" t="s">
        <v>240</v>
      </c>
      <c r="I41" s="8" t="s">
        <v>278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16</v>
      </c>
      <c r="D42" s="9" t="s">
        <v>61</v>
      </c>
      <c r="E42" s="10" t="s">
        <v>124</v>
      </c>
      <c r="F42" s="9" t="s">
        <v>169</v>
      </c>
      <c r="G42" s="10" t="s">
        <v>217</v>
      </c>
      <c r="H42" s="9" t="s">
        <v>240</v>
      </c>
      <c r="I42" s="10" t="s">
        <v>279</v>
      </c>
      <c r="J42" s="9">
        <v>4</v>
      </c>
      <c r="K42" s="9"/>
    </row>
    <row r="43" spans="1:11" ht="15.75" thickBot="1" x14ac:dyDescent="0.3">
      <c r="A43" s="1"/>
      <c r="B43" s="11">
        <f>ROW(B43) - ROW($B$2)</f>
        <v>41</v>
      </c>
      <c r="C43" s="13" t="s">
        <v>16</v>
      </c>
      <c r="D43" s="7" t="s">
        <v>62</v>
      </c>
      <c r="E43" s="8" t="s">
        <v>125</v>
      </c>
      <c r="F43" s="7" t="s">
        <v>170</v>
      </c>
      <c r="G43" s="8" t="s">
        <v>218</v>
      </c>
      <c r="H43" s="7" t="s">
        <v>240</v>
      </c>
      <c r="I43" s="8" t="s">
        <v>271</v>
      </c>
      <c r="J43" s="7">
        <v>2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16</v>
      </c>
      <c r="D44" s="9" t="s">
        <v>63</v>
      </c>
      <c r="E44" s="10" t="s">
        <v>126</v>
      </c>
      <c r="F44" s="9" t="s">
        <v>171</v>
      </c>
      <c r="G44" s="10" t="s">
        <v>219</v>
      </c>
      <c r="H44" s="9" t="s">
        <v>240</v>
      </c>
      <c r="I44" s="10" t="s">
        <v>280</v>
      </c>
      <c r="J44" s="9">
        <v>2</v>
      </c>
      <c r="K44" s="9"/>
    </row>
    <row r="45" spans="1:11" ht="15.75" thickBot="1" x14ac:dyDescent="0.3">
      <c r="A45" s="1"/>
      <c r="B45" s="11">
        <f>ROW(B45) - ROW($B$2)</f>
        <v>43</v>
      </c>
      <c r="C45" s="13" t="s">
        <v>16</v>
      </c>
      <c r="D45" s="7" t="s">
        <v>64</v>
      </c>
      <c r="E45" s="8" t="s">
        <v>127</v>
      </c>
      <c r="F45" s="7" t="s">
        <v>172</v>
      </c>
      <c r="G45" s="8" t="s">
        <v>220</v>
      </c>
      <c r="H45" s="7" t="s">
        <v>240</v>
      </c>
      <c r="I45" s="8" t="s">
        <v>275</v>
      </c>
      <c r="J45" s="7">
        <v>1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16</v>
      </c>
      <c r="D46" s="9" t="s">
        <v>65</v>
      </c>
      <c r="E46" s="10" t="s">
        <v>128</v>
      </c>
      <c r="F46" s="9" t="s">
        <v>169</v>
      </c>
      <c r="G46" s="10" t="s">
        <v>221</v>
      </c>
      <c r="H46" s="9" t="s">
        <v>240</v>
      </c>
      <c r="I46" s="10" t="s">
        <v>281</v>
      </c>
      <c r="J46" s="9">
        <v>2</v>
      </c>
      <c r="K46" s="9"/>
    </row>
    <row r="47" spans="1:11" ht="15.75" thickBot="1" x14ac:dyDescent="0.3">
      <c r="A47" s="1"/>
      <c r="B47" s="11">
        <f>ROW(B47) - ROW($B$2)</f>
        <v>45</v>
      </c>
      <c r="C47" s="13" t="s">
        <v>16</v>
      </c>
      <c r="D47" s="7" t="s">
        <v>66</v>
      </c>
      <c r="E47" s="8" t="s">
        <v>129</v>
      </c>
      <c r="F47" s="7" t="s">
        <v>169</v>
      </c>
      <c r="G47" s="8" t="s">
        <v>222</v>
      </c>
      <c r="H47" s="7" t="s">
        <v>240</v>
      </c>
      <c r="I47" s="8" t="s">
        <v>282</v>
      </c>
      <c r="J47" s="7">
        <v>2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16</v>
      </c>
      <c r="D48" s="9" t="s">
        <v>67</v>
      </c>
      <c r="E48" s="10" t="s">
        <v>130</v>
      </c>
      <c r="F48" s="9" t="s">
        <v>169</v>
      </c>
      <c r="G48" s="10" t="s">
        <v>223</v>
      </c>
      <c r="H48" s="9" t="s">
        <v>240</v>
      </c>
      <c r="I48" s="10" t="s">
        <v>283</v>
      </c>
      <c r="J48" s="9">
        <v>2</v>
      </c>
      <c r="K48" s="9"/>
    </row>
    <row r="49" spans="1:11" ht="15.75" thickBot="1" x14ac:dyDescent="0.3">
      <c r="A49" s="1"/>
      <c r="B49" s="11">
        <f>ROW(B49) - ROW($B$2)</f>
        <v>47</v>
      </c>
      <c r="C49" s="13" t="s">
        <v>16</v>
      </c>
      <c r="D49" s="7" t="s">
        <v>68</v>
      </c>
      <c r="E49" s="8" t="s">
        <v>131</v>
      </c>
      <c r="F49" s="7" t="s">
        <v>169</v>
      </c>
      <c r="G49" s="8" t="s">
        <v>224</v>
      </c>
      <c r="H49" s="7" t="s">
        <v>240</v>
      </c>
      <c r="I49" s="8" t="s">
        <v>284</v>
      </c>
      <c r="J49" s="7">
        <v>2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16</v>
      </c>
      <c r="D50" s="9" t="s">
        <v>69</v>
      </c>
      <c r="E50" s="10" t="s">
        <v>132</v>
      </c>
      <c r="F50" s="9" t="s">
        <v>170</v>
      </c>
      <c r="G50" s="10" t="s">
        <v>225</v>
      </c>
      <c r="H50" s="9" t="s">
        <v>240</v>
      </c>
      <c r="I50" s="10" t="s">
        <v>285</v>
      </c>
      <c r="J50" s="9">
        <v>1</v>
      </c>
      <c r="K50" s="9"/>
    </row>
    <row r="51" spans="1:11" ht="36.75" thickBot="1" x14ac:dyDescent="0.3">
      <c r="A51" s="1"/>
      <c r="B51" s="11">
        <f>ROW(B51) - ROW($B$2)</f>
        <v>49</v>
      </c>
      <c r="C51" s="12" t="s">
        <v>16</v>
      </c>
      <c r="D51" s="7" t="s">
        <v>70</v>
      </c>
      <c r="E51" s="8" t="s">
        <v>133</v>
      </c>
      <c r="F51" s="7" t="s">
        <v>171</v>
      </c>
      <c r="G51" s="8" t="s">
        <v>226</v>
      </c>
      <c r="H51" s="7" t="s">
        <v>257</v>
      </c>
      <c r="I51" s="8" t="s">
        <v>284</v>
      </c>
      <c r="J51" s="7">
        <v>5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16</v>
      </c>
      <c r="D52" s="9" t="s">
        <v>71</v>
      </c>
      <c r="E52" s="10" t="s">
        <v>134</v>
      </c>
      <c r="F52" s="9" t="s">
        <v>169</v>
      </c>
      <c r="G52" s="10" t="s">
        <v>227</v>
      </c>
      <c r="H52" s="9" t="s">
        <v>240</v>
      </c>
      <c r="I52" s="10" t="s">
        <v>286</v>
      </c>
      <c r="J52" s="9">
        <v>3</v>
      </c>
      <c r="K52" s="9"/>
    </row>
    <row r="53" spans="1:11" ht="15.75" thickBot="1" x14ac:dyDescent="0.3">
      <c r="A53" s="1"/>
      <c r="B53" s="11">
        <f>ROW(B53) - ROW($B$2)</f>
        <v>51</v>
      </c>
      <c r="C53" s="13" t="s">
        <v>16</v>
      </c>
      <c r="D53" s="7" t="s">
        <v>72</v>
      </c>
      <c r="E53" s="8" t="s">
        <v>135</v>
      </c>
      <c r="F53" s="7" t="s">
        <v>169</v>
      </c>
      <c r="G53" s="8" t="s">
        <v>228</v>
      </c>
      <c r="H53" s="7" t="s">
        <v>240</v>
      </c>
      <c r="I53" s="8" t="s">
        <v>287</v>
      </c>
      <c r="J53" s="7">
        <v>3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17</v>
      </c>
      <c r="D54" s="15" t="s">
        <v>73</v>
      </c>
      <c r="E54" s="16" t="s">
        <v>136</v>
      </c>
      <c r="F54" s="15" t="s">
        <v>173</v>
      </c>
      <c r="G54" s="16" t="s">
        <v>173</v>
      </c>
      <c r="H54" s="15" t="s">
        <v>291</v>
      </c>
      <c r="I54" s="16" t="s">
        <v>291</v>
      </c>
      <c r="J54" s="15">
        <v>1</v>
      </c>
      <c r="K54" s="17" t="s">
        <v>296</v>
      </c>
    </row>
    <row r="55" spans="1:11" ht="15.75" thickBot="1" x14ac:dyDescent="0.3">
      <c r="A55" s="1"/>
      <c r="B55" s="11">
        <f>ROW(B55) - ROW($B$2)</f>
        <v>53</v>
      </c>
      <c r="C55" s="12" t="s">
        <v>18</v>
      </c>
      <c r="D55" s="7" t="s">
        <v>74</v>
      </c>
      <c r="E55" s="8" t="s">
        <v>137</v>
      </c>
      <c r="F55" s="7" t="s">
        <v>174</v>
      </c>
      <c r="G55" s="8" t="s">
        <v>174</v>
      </c>
      <c r="H55" s="7" t="s">
        <v>258</v>
      </c>
      <c r="I55" s="10" t="s">
        <v>291</v>
      </c>
      <c r="J55" s="7">
        <v>2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19</v>
      </c>
      <c r="D56" s="9" t="s">
        <v>75</v>
      </c>
      <c r="E56" s="10" t="s">
        <v>138</v>
      </c>
      <c r="F56" s="9" t="s">
        <v>175</v>
      </c>
      <c r="G56" s="10" t="s">
        <v>229</v>
      </c>
      <c r="H56" s="9" t="s">
        <v>242</v>
      </c>
      <c r="I56" s="10" t="s">
        <v>291</v>
      </c>
      <c r="J56" s="9">
        <v>1</v>
      </c>
      <c r="K56" s="9"/>
    </row>
    <row r="57" spans="1:11" ht="24.75" thickBot="1" x14ac:dyDescent="0.3">
      <c r="A57" s="1"/>
      <c r="B57" s="11">
        <f>ROW(B57) - ROW($B$2)</f>
        <v>55</v>
      </c>
      <c r="C57" s="12" t="s">
        <v>19</v>
      </c>
      <c r="D57" s="7" t="s">
        <v>76</v>
      </c>
      <c r="E57" s="8" t="s">
        <v>139</v>
      </c>
      <c r="F57" s="7" t="s">
        <v>176</v>
      </c>
      <c r="G57" s="8" t="s">
        <v>230</v>
      </c>
      <c r="H57" s="7" t="s">
        <v>259</v>
      </c>
      <c r="I57" s="10" t="s">
        <v>291</v>
      </c>
      <c r="J57" s="7">
        <v>1</v>
      </c>
      <c r="K57" s="7"/>
    </row>
    <row r="58" spans="1:11" ht="36.75" thickBot="1" x14ac:dyDescent="0.3">
      <c r="A58" s="1"/>
      <c r="B58" s="11">
        <f t="shared" si="0"/>
        <v>56</v>
      </c>
      <c r="C58" s="12" t="s">
        <v>19</v>
      </c>
      <c r="D58" s="9" t="s">
        <v>77</v>
      </c>
      <c r="E58" s="10" t="s">
        <v>140</v>
      </c>
      <c r="F58" s="9" t="s">
        <v>177</v>
      </c>
      <c r="G58" s="10" t="s">
        <v>231</v>
      </c>
      <c r="H58" s="9" t="s">
        <v>260</v>
      </c>
      <c r="I58" s="10" t="s">
        <v>291</v>
      </c>
      <c r="J58" s="9">
        <v>1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19</v>
      </c>
      <c r="D59" s="7" t="s">
        <v>78</v>
      </c>
      <c r="E59" s="8" t="s">
        <v>141</v>
      </c>
      <c r="F59" s="7" t="s">
        <v>178</v>
      </c>
      <c r="G59" s="8" t="s">
        <v>178</v>
      </c>
      <c r="H59" s="7" t="s">
        <v>261</v>
      </c>
      <c r="I59" s="10" t="s">
        <v>291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19</v>
      </c>
      <c r="D60" s="9" t="s">
        <v>79</v>
      </c>
      <c r="E60" s="10" t="s">
        <v>142</v>
      </c>
      <c r="F60" s="9" t="s">
        <v>179</v>
      </c>
      <c r="G60" s="10" t="s">
        <v>232</v>
      </c>
      <c r="H60" s="9" t="s">
        <v>262</v>
      </c>
      <c r="I60" s="10" t="s">
        <v>291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19</v>
      </c>
      <c r="D61" s="7" t="s">
        <v>80</v>
      </c>
      <c r="E61" s="8" t="s">
        <v>143</v>
      </c>
      <c r="F61" s="7" t="s">
        <v>180</v>
      </c>
      <c r="G61" s="8" t="s">
        <v>233</v>
      </c>
      <c r="H61" s="7" t="s">
        <v>262</v>
      </c>
      <c r="I61" s="10" t="s">
        <v>291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19</v>
      </c>
      <c r="D62" s="9" t="s">
        <v>81</v>
      </c>
      <c r="E62" s="10" t="s">
        <v>144</v>
      </c>
      <c r="F62" s="9" t="s">
        <v>181</v>
      </c>
      <c r="G62" s="10" t="s">
        <v>234</v>
      </c>
      <c r="H62" s="9" t="s">
        <v>262</v>
      </c>
      <c r="I62" s="10" t="s">
        <v>291</v>
      </c>
      <c r="J62" s="9">
        <v>3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19</v>
      </c>
      <c r="D63" s="7" t="s">
        <v>82</v>
      </c>
      <c r="E63" s="8" t="s">
        <v>145</v>
      </c>
      <c r="F63" s="7" t="s">
        <v>176</v>
      </c>
      <c r="G63" s="8" t="s">
        <v>235</v>
      </c>
      <c r="H63" s="7" t="s">
        <v>262</v>
      </c>
      <c r="I63" s="10" t="s">
        <v>291</v>
      </c>
      <c r="J63" s="7">
        <v>2</v>
      </c>
      <c r="K63" s="7"/>
    </row>
    <row r="64" spans="1:11" ht="24.75" thickBot="1" x14ac:dyDescent="0.3">
      <c r="A64" s="1"/>
      <c r="B64" s="11">
        <f t="shared" si="0"/>
        <v>62</v>
      </c>
      <c r="C64" s="13" t="s">
        <v>20</v>
      </c>
      <c r="D64" s="9" t="s">
        <v>83</v>
      </c>
      <c r="E64" s="10" t="s">
        <v>146</v>
      </c>
      <c r="F64" s="9" t="s">
        <v>182</v>
      </c>
      <c r="G64" s="10" t="s">
        <v>236</v>
      </c>
      <c r="H64" s="9" t="s">
        <v>243</v>
      </c>
      <c r="I64" s="10" t="s">
        <v>291</v>
      </c>
      <c r="J64" s="9">
        <v>1</v>
      </c>
      <c r="K64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2025-02-13T11:11:53Z</dcterms:modified>
</cp:coreProperties>
</file>